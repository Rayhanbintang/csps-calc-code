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Elastic Cloud Compute (EC2) Specifications</t>
        </is>
      </c>
    </row>
    <row r="2">
      <c r="A2" t="inlineStr"/>
      <c r="B2" t="inlineStr">
        <is>
          <t>Group
(Group name cannot contain '&gt;', '&lt;' and '&amp;')</t>
        </is>
      </c>
      <c r="C2" t="inlineStr">
        <is>
          <t>Description
(Description cannot contain '&gt;', '&lt;' and '&amp;')</t>
        </is>
      </c>
      <c r="D2" t="inlineStr">
        <is>
          <t xml:space="preserve">AWS Region 
</t>
        </is>
      </c>
      <c r="E2" t="inlineStr">
        <is>
          <t>Operating System</t>
        </is>
      </c>
      <c r="F2" t="inlineStr">
        <is>
          <t>Instance Type</t>
        </is>
      </c>
      <c r="G2" t="inlineStr">
        <is>
          <t>Tenancy</t>
        </is>
      </c>
      <c r="H2" t="inlineStr">
        <is>
          <t xml:space="preserve">Number of Instances </t>
        </is>
      </c>
      <c r="I2" t="inlineStr">
        <is>
          <t>Assumed Usage</t>
        </is>
      </c>
      <c r="J2" t="inlineStr">
        <is>
          <t>Usage Type</t>
        </is>
      </c>
      <c r="K2" t="inlineStr">
        <is>
          <t>Purchasing Option</t>
        </is>
      </c>
      <c r="L2" t="inlineStr">
        <is>
          <t>Storage Type</t>
        </is>
      </c>
      <c r="M2" t="inlineStr">
        <is>
          <t>Storage amount per Instance 
(GB)</t>
        </is>
      </c>
      <c r="N2" t="inlineStr">
        <is>
          <t>Provisioning IOPS per instance 
(applicable for 
gp3, io1, io2)</t>
        </is>
      </c>
      <c r="O2" t="inlineStr">
        <is>
          <t>EBS Throughput per Instance
 (applicable for gp3)
(Mbps)</t>
        </is>
      </c>
      <c r="P2" t="inlineStr">
        <is>
          <t>Snapshot Frequency</t>
        </is>
      </c>
      <c r="Q2" t="inlineStr">
        <is>
          <t>EBS Snapshot amount per Instance (GB/snapshot)</t>
        </is>
      </c>
    </row>
    <row r="3">
      <c r="A3">
        <f>IF(ISBLANK(H3),0,1)</f>
        <v/>
      </c>
      <c r="B3" t="inlineStr">
        <is>
          <t>Production</t>
        </is>
      </c>
      <c r="C3" t="inlineStr">
        <is>
          <t>App &amp; web</t>
        </is>
      </c>
      <c r="D3" t="inlineStr">
        <is>
          <t>ap-southeast-3</t>
        </is>
      </c>
      <c r="E3" t="inlineStr">
        <is>
          <t>Linux</t>
        </is>
      </c>
      <c r="F3" t="inlineStr">
        <is>
          <t>m6i.large</t>
        </is>
      </c>
      <c r="G3" t="inlineStr">
        <is>
          <t>Shared Instances</t>
        </is>
      </c>
      <c r="H3" t="n">
        <v>3</v>
      </c>
      <c r="J3" t="inlineStr">
        <is>
          <t>Always On</t>
        </is>
      </c>
      <c r="K3" t="inlineStr">
        <is>
          <t>3 Yr All Upfront Compute Savings Plan</t>
        </is>
      </c>
      <c r="L3" t="inlineStr">
        <is>
          <t>General Purpose SSD (gp3)</t>
        </is>
      </c>
      <c r="M3" t="n">
        <v>100</v>
      </c>
      <c r="N3" t="n">
        <v>5000</v>
      </c>
      <c r="O3" t="n">
        <v>250</v>
      </c>
      <c r="P3" t="inlineStr">
        <is>
          <t>No snapshot storage</t>
        </is>
      </c>
    </row>
    <row r="4">
      <c r="A4">
        <f>IF(ISBLANK(H4),0,1)</f>
        <v/>
      </c>
      <c r="B4" t="inlineStr">
        <is>
          <t>Production</t>
        </is>
      </c>
      <c r="C4" t="inlineStr">
        <is>
          <t>DB</t>
        </is>
      </c>
      <c r="D4" t="inlineStr">
        <is>
          <t>ap-southeast-3</t>
        </is>
      </c>
      <c r="E4" t="inlineStr">
        <is>
          <t>Windows Server with SQL Server Standard</t>
        </is>
      </c>
      <c r="F4" t="inlineStr">
        <is>
          <t>r6i.xlarge</t>
        </is>
      </c>
      <c r="G4" t="inlineStr">
        <is>
          <t>Dedicated Instances</t>
        </is>
      </c>
      <c r="H4" t="n">
        <v>2</v>
      </c>
      <c r="J4" t="inlineStr">
        <is>
          <t>Always On</t>
        </is>
      </c>
      <c r="K4" t="inlineStr">
        <is>
          <t>1 Yr No Upfront Standard Reserved Instances Plan</t>
        </is>
      </c>
      <c r="L4" t="inlineStr">
        <is>
          <t>Provisioned IOPS SSD (io2)</t>
        </is>
      </c>
      <c r="M4" t="n">
        <v>500</v>
      </c>
      <c r="N4" t="n">
        <v>8000</v>
      </c>
      <c r="P4" t="inlineStr">
        <is>
          <t>Daily</t>
        </is>
      </c>
      <c r="Q4" t="n">
        <v>50</v>
      </c>
    </row>
    <row r="5">
      <c r="A5">
        <f>IF(ISBLANK(H5),0,1)</f>
        <v/>
      </c>
      <c r="B5" t="inlineStr">
        <is>
          <t>Beta</t>
        </is>
      </c>
      <c r="C5" t="inlineStr">
        <is>
          <t>Batch</t>
        </is>
      </c>
      <c r="D5" t="inlineStr">
        <is>
          <t>ap-southeast-1</t>
        </is>
      </c>
      <c r="E5" t="inlineStr">
        <is>
          <t>Red Hat Enterprise Linux with HA</t>
        </is>
      </c>
      <c r="F5" t="inlineStr">
        <is>
          <t>c6i.large</t>
        </is>
      </c>
      <c r="G5" t="inlineStr">
        <is>
          <t>Shared Instances</t>
        </is>
      </c>
      <c r="H5" t="n">
        <v>1</v>
      </c>
      <c r="I5" t="n">
        <v>84</v>
      </c>
      <c r="J5" t="inlineStr">
        <is>
          <t>Hours/Week</t>
        </is>
      </c>
      <c r="K5" t="inlineStr">
        <is>
          <t>Spot</t>
        </is>
      </c>
    </row>
    <row r="6">
      <c r="A6">
        <f>IF(ISBLANK(H6),0,1)</f>
        <v/>
      </c>
      <c r="B6" t="inlineStr"/>
      <c r="C6" t="inlineStr">
        <is>
          <t>Edge</t>
        </is>
      </c>
      <c r="D6" t="inlineStr">
        <is>
          <t>ap-southeast-1-bkk-1</t>
        </is>
      </c>
      <c r="E6" t="inlineStr">
        <is>
          <t>Linux</t>
        </is>
      </c>
      <c r="F6" t="inlineStr">
        <is>
          <t>t3.micro</t>
        </is>
      </c>
      <c r="G6" t="inlineStr">
        <is>
          <t>Shared Instances</t>
        </is>
      </c>
      <c r="H6" t="n">
        <v>1</v>
      </c>
      <c r="J6" t="inlineStr">
        <is>
          <t>Always On</t>
        </is>
      </c>
      <c r="K6" t="inlineStr">
        <is>
          <t>On-Demand</t>
        </is>
      </c>
    </row>
    <row r="7">
      <c r="A7">
        <f>IF(ISBLANK(H7),0,1)</f>
        <v/>
      </c>
      <c r="B7" t="inlineStr"/>
      <c r="C7" t="inlineStr">
        <is>
          <t>Odd</t>
        </is>
      </c>
      <c r="D7" t="inlineStr">
        <is>
          <t>ap-southeast-3</t>
        </is>
      </c>
      <c r="E7" t="inlineStr">
        <is>
          <t>Linux</t>
        </is>
      </c>
      <c r="F7" t="inlineStr">
        <is>
          <t>m6i.large</t>
        </is>
      </c>
      <c r="G7" t="inlineStr">
        <is>
          <t>Shared Instances</t>
        </is>
      </c>
      <c r="H7" t="n">
        <v>1</v>
      </c>
      <c r="J7" t="inlineStr">
        <is>
          <t>Always On</t>
        </is>
      </c>
      <c r="K7" t="inlineStr">
        <is>
          <t>5 Yr Magic Plan</t>
        </is>
      </c>
    </row>
    <row r="8">
      <c r="A8">
        <f>IF(ISBLANK(H8),0,1)</f>
        <v/>
      </c>
    </row>
    <row r="9">
      <c r="A9">
        <f>IF(ISBLANK(H9),0,1)</f>
        <v/>
      </c>
    </row>
    <row r="10">
      <c r="A10">
        <f>IF(ISBLANK(H10),0,1)</f>
        <v/>
      </c>
    </row>
    <row r="11">
      <c r="A11">
        <f>IF(ISBLANK(H11),0,1)</f>
        <v/>
      </c>
    </row>
    <row r="12">
      <c r="A12">
        <f>IF(ISBLANK(H12),0,1)</f>
        <v/>
      </c>
    </row>
    <row r="13">
      <c r="A13">
        <f>IF(ISBLANK(H13),0,1)</f>
        <v/>
      </c>
    </row>
    <row r="14">
      <c r="A14">
        <f>IF(ISBLANK(H14),0,1)</f>
        <v/>
      </c>
    </row>
    <row r="15">
      <c r="A15">
        <f>IF(ISBLANK(H15),0,1)</f>
        <v/>
      </c>
    </row>
    <row r="16">
      <c r="A16">
        <f>IF(ISBLANK(H16),0,1)</f>
        <v/>
      </c>
    </row>
    <row r="17">
      <c r="A17">
        <f>IF(ISBLANK(H17),0,1)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2026-10-05T09:00:23Z</dcterms:created>
  <dcterms:modified xmlns:dcterms="http://purl.org/dc/terms/" xmlns:xsi="http://www.w3.org/2001/XMLSchema-instance" xsi:type="dcterms:W3CDTF">2026-10-05T09:00:23Z</dcterms:modified>
</cp:coreProperties>
</file>